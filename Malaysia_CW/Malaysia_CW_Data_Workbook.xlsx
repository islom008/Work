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Task1_Pandemic" sheetId="3" state="visible" r:id="rId3"/>
    <sheet xmlns:r="http://schemas.openxmlformats.org/officeDocument/2006/relationships" name="Otabek_Gloves" sheetId="4" state="visible" r:id="rId4"/>
    <sheet xmlns:r="http://schemas.openxmlformats.org/officeDocument/2006/relationships" name="Olmasbek_Services" sheetId="5" state="visible" r:id="rId5"/>
    <sheet xmlns:r="http://schemas.openxmlformats.org/officeDocument/2006/relationships" name="Bagdad_PalmOil" sheetId="6" state="visible" r:id="rId6"/>
    <sheet xmlns:r="http://schemas.openxmlformats.org/officeDocument/2006/relationships" name="Ulugbek_Air" sheetId="7" state="visible" r:id="rId7"/>
    <sheet xmlns:r="http://schemas.openxmlformats.org/officeDocument/2006/relationships" name="Task4_Elasticity" sheetId="8" state="visible" r:id="rId8"/>
    <sheet xmlns:r="http://schemas.openxmlformats.org/officeDocument/2006/relationships" name="Task5_Inputs" sheetId="9" state="visible" r:id="rId9"/>
    <sheet xmlns:r="http://schemas.openxmlformats.org/officeDocument/2006/relationships" name="Key_Figures" sheetId="10" state="visible" r:id="rId10"/>
    <sheet xmlns:r="http://schemas.openxmlformats.org/officeDocument/2006/relationships" name="Sourc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Malaysia coursework: team data workbook</t>
        </is>
      </c>
    </row>
    <row r="2">
      <c r="A2" s="2" t="inlineStr">
        <is>
          <t>Essentials of Economics 4ECON003C | Deadline Thu 29 Oct 2026, 23:59 | Target: everything finished Wed 28 Oct</t>
        </is>
      </c>
    </row>
    <row r="3">
      <c r="A3" s="2" t="inlineStr"/>
    </row>
    <row r="4">
      <c r="A4" s="3" t="inlineStr">
        <is>
          <t>Rules</t>
        </is>
      </c>
    </row>
    <row r="5">
      <c r="A5" s="2" t="inlineStr">
        <is>
          <t>1. Yellow cells are for you to fill in. Every number needs a row in Source_Log (name, exact URL, retrieval date, table).</t>
        </is>
      </c>
    </row>
    <row r="6">
      <c r="A6" s="2" t="inlineStr">
        <is>
          <t>2. Do not type numbers from memory, news or AI. Download the series, paste the raw data in your tab, then calculate.</t>
        </is>
      </c>
    </row>
    <row r="7">
      <c r="A7" s="2" t="inlineStr">
        <is>
          <t>3. All four markets use the SAME three periods (see Periods tab). If a series does not cover them, tell the group chat the same day.</t>
        </is>
      </c>
    </row>
    <row r="8">
      <c r="A8" s="2" t="inlineStr">
        <is>
          <t>4. Diagrams in the report must be built from the P and Q cells in your tab. Keep the chart in your tab so it is traceable.</t>
        </is>
      </c>
    </row>
    <row r="9">
      <c r="A9" s="2" t="inlineStr">
        <is>
          <t>5. Do not overwrite other people's tabs. Add questions as cell comments.</t>
        </is>
      </c>
    </row>
    <row r="10">
      <c r="A10" s="2" t="inlineStr"/>
    </row>
    <row r="11">
      <c r="A11" s="3" t="inlineStr">
        <is>
          <t>Tabs</t>
        </is>
      </c>
    </row>
    <row r="12">
      <c r="A12" s="2" t="inlineStr">
        <is>
          <t>Periods: the three agreed periods (decide at kickoff)</t>
        </is>
      </c>
    </row>
    <row r="13">
      <c r="A13" s="2" t="inlineStr">
        <is>
          <t>Task1_Pandemic: Islom. Pandemic scale table with sources</t>
        </is>
      </c>
    </row>
    <row r="14">
      <c r="A14" s="2" t="inlineStr">
        <is>
          <t>Otabek_Gloves, Olmasbek_Services, Bagdad_PalmOil, Ulugbek_Air: one tab per market (P, Q, case study, stabilisation actions)</t>
        </is>
      </c>
    </row>
    <row r="15">
      <c r="A15" s="2" t="inlineStr">
        <is>
          <t>Task4_Elasticity: arc elasticity calculations (formulas fill in once the P and Q cells are filled)</t>
        </is>
      </c>
    </row>
    <row r="16">
      <c r="A16" s="2" t="inlineStr">
        <is>
          <t>Task5_Inputs: each member's 3 lines for the conclusion</t>
        </is>
      </c>
    </row>
    <row r="17">
      <c r="A17" s="2" t="inlineStr">
        <is>
          <t>Key_Figures: the 10-15 numbers used in the presentation</t>
        </is>
      </c>
    </row>
    <row r="18">
      <c r="A18" s="2" t="inlineStr">
        <is>
          <t>Source_Log: master log. This becomes the Data Appendix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0" customWidth="1" min="3" max="3"/>
    <col width="16" customWidth="1" min="4" max="4"/>
  </cols>
  <sheetData>
    <row r="1">
      <c r="A1" s="4" t="inlineStr">
        <is>
          <t>Label</t>
        </is>
      </c>
      <c r="B1" s="4" t="inlineStr">
        <is>
          <t>Period</t>
        </is>
      </c>
      <c r="C1" s="4" t="inlineStr">
        <is>
          <t>Why</t>
        </is>
      </c>
      <c r="D1" s="4" t="inlineStr">
        <is>
          <t>Agreed? (Y/N)</t>
        </is>
      </c>
    </row>
    <row r="2">
      <c r="A2" s="5" t="inlineStr">
        <is>
          <t>Pre-pandemic (P1)</t>
        </is>
      </c>
      <c r="B2" s="5" t="inlineStr">
        <is>
          <t>Q4 2019 (Oct-Dec 2019)</t>
        </is>
      </c>
      <c r="C2" s="5" t="inlineStr">
        <is>
          <t>Required by the brief: last pre-pandemic quarter</t>
        </is>
      </c>
      <c r="D2" s="6" t="inlineStr"/>
    </row>
    <row r="3">
      <c r="A3" s="5" t="inlineStr">
        <is>
          <t>Pandemic (P2)</t>
        </is>
      </c>
      <c r="B3" s="5" t="inlineStr">
        <is>
          <t>Q2 2020 (Apr-Jun 2020)</t>
        </is>
      </c>
      <c r="C3" s="5" t="inlineStr">
        <is>
          <t>Required by the brief: first MCO began 18 Mar 2020, so Q2 2020 is the first full lockdown quarter</t>
        </is>
      </c>
      <c r="D3" s="6" t="inlineStr"/>
    </row>
    <row r="4">
      <c r="A4" s="5" t="inlineStr">
        <is>
          <t>Later (P3)</t>
        </is>
      </c>
      <c r="B4" s="5" t="inlineStr">
        <is>
          <t>Q4 2021 (Oct-Dec 2021) - RECOMMENDED, group to confirm</t>
        </is>
      </c>
      <c r="C4" s="5" t="inlineStr">
        <is>
          <t>Q2 and Q3 2021 still had MCO 3.0 / FMCO and extended restrictions; Q2 2022 follows the border reopening (1 Apr 2022) and the glove HS code revision (1 Jun 2022). DOSM Q4 2021 releases exist. VERIFY all four series cover it.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2" customWidth="1" min="3" max="3"/>
    <col width="20" customWidth="1" min="4" max="4"/>
    <col width="28" customWidth="1" min="5" max="5"/>
    <col width="50" customWidth="1" min="6" max="6"/>
    <col width="14" customWidth="1" min="7" max="7"/>
    <col width="40" customWidth="1" min="8" max="8"/>
  </cols>
  <sheetData>
    <row r="1">
      <c r="A1" s="4" t="inlineStr">
        <is>
          <t>Indicator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Date / period</t>
        </is>
      </c>
      <c r="E1" s="4" t="inlineStr">
        <is>
          <t>Source name</t>
        </is>
      </c>
      <c r="F1" s="4" t="inlineStr">
        <is>
          <t>Exact URL</t>
        </is>
      </c>
      <c r="G1" s="4" t="inlineStr">
        <is>
          <t>Retrieved on</t>
        </is>
      </c>
      <c r="H1" s="4" t="inlineStr">
        <is>
          <t>Notes / check</t>
        </is>
      </c>
    </row>
    <row r="2">
      <c r="A2" t="inlineStr">
        <is>
          <t>Population</t>
        </is>
      </c>
      <c r="B2" s="7" t="n"/>
      <c r="C2" t="inlineStr">
        <is>
          <t>persons</t>
        </is>
      </c>
      <c r="D2" s="7" t="n"/>
      <c r="E2" s="7" t="n"/>
      <c r="F2" s="7" t="n"/>
      <c r="G2" s="7" t="n"/>
      <c r="H2" s="7" t="n"/>
    </row>
    <row r="3">
      <c r="A3" t="inlineStr">
        <is>
          <t>GDP (current US$ or RM)</t>
        </is>
      </c>
      <c r="B3" s="7" t="n"/>
      <c r="C3" t="inlineStr"/>
      <c r="D3" s="7" t="n"/>
      <c r="E3" s="7" t="n"/>
      <c r="F3" s="7" t="n"/>
      <c r="G3" s="7" t="n"/>
      <c r="H3" s="7" t="n"/>
    </row>
    <row r="4">
      <c r="A4" t="inlineStr">
        <is>
          <t>GDP growth 2019</t>
        </is>
      </c>
      <c r="B4" s="7" t="n"/>
      <c r="C4" t="inlineStr">
        <is>
          <t>%</t>
        </is>
      </c>
      <c r="D4" s="7" t="n"/>
      <c r="E4" s="7" t="n"/>
      <c r="F4" s="7" t="n"/>
      <c r="G4" s="7" t="n"/>
      <c r="H4" s="7" t="n"/>
    </row>
    <row r="5">
      <c r="A5" t="inlineStr">
        <is>
          <t>GDP growth 2020</t>
        </is>
      </c>
      <c r="B5" s="7" t="n"/>
      <c r="C5" t="inlineStr">
        <is>
          <t>%</t>
        </is>
      </c>
      <c r="D5" s="7" t="n"/>
      <c r="E5" s="7" t="n"/>
      <c r="F5" s="7" t="n"/>
      <c r="G5" s="7" t="n"/>
      <c r="H5" s="7" t="n"/>
    </row>
    <row r="6">
      <c r="A6" t="inlineStr">
        <is>
          <t>GDP growth 2021</t>
        </is>
      </c>
      <c r="B6" s="7" t="n"/>
      <c r="C6" t="inlineStr">
        <is>
          <t>%</t>
        </is>
      </c>
      <c r="D6" s="7" t="n"/>
      <c r="E6" s="7" t="n"/>
      <c r="F6" s="7" t="n"/>
      <c r="G6" s="7" t="n"/>
      <c r="H6" s="7" t="n"/>
    </row>
    <row r="7">
      <c r="A7" t="inlineStr">
        <is>
          <t>Cumulative confirmed cases</t>
        </is>
      </c>
      <c r="B7" s="7" t="n"/>
      <c r="C7" t="inlineStr">
        <is>
          <t>persons</t>
        </is>
      </c>
      <c r="D7" s="7" t="n"/>
      <c r="E7" s="7" t="n"/>
      <c r="F7" s="7" t="n"/>
      <c r="G7" s="7" t="n"/>
      <c r="H7" s="7" t="n"/>
    </row>
    <row r="8">
      <c r="A8" t="inlineStr">
        <is>
          <t>Cases per million</t>
        </is>
      </c>
      <c r="B8" s="7" t="n"/>
      <c r="C8" t="inlineStr">
        <is>
          <t>per million</t>
        </is>
      </c>
      <c r="D8" s="7" t="n"/>
      <c r="E8" s="7" t="n"/>
      <c r="F8" s="7" t="n"/>
      <c r="G8" s="7" t="n"/>
      <c r="H8" s="7" t="n"/>
    </row>
    <row r="9">
      <c r="A9" t="inlineStr">
        <is>
          <t>Cumulative confirmed deaths</t>
        </is>
      </c>
      <c r="B9" s="7" t="n"/>
      <c r="C9" t="inlineStr">
        <is>
          <t>persons</t>
        </is>
      </c>
      <c r="D9" s="7" t="n"/>
      <c r="E9" s="7" t="n"/>
      <c r="F9" s="7" t="n"/>
      <c r="G9" s="7" t="n"/>
      <c r="H9" s="7" t="n"/>
    </row>
    <row r="10">
      <c r="A10" t="inlineStr">
        <is>
          <t>Deaths per million</t>
        </is>
      </c>
      <c r="B10" s="7" t="n"/>
      <c r="C10" t="inlineStr">
        <is>
          <t>per million</t>
        </is>
      </c>
      <c r="D10" s="7" t="n"/>
      <c r="E10" s="7" t="n"/>
      <c r="F10" s="7" t="n"/>
      <c r="G10" s="7" t="n"/>
      <c r="H10" s="7" t="n"/>
    </row>
    <row r="11">
      <c r="A11" t="inlineStr">
        <is>
          <t>Excess mortality (excess deaths)</t>
        </is>
      </c>
      <c r="B11" s="7" t="n"/>
      <c r="C11" t="inlineStr">
        <is>
          <t>persons</t>
        </is>
      </c>
      <c r="D11" s="7" t="n"/>
      <c r="E11" s="7" t="n"/>
      <c r="F11" s="7" t="n"/>
      <c r="G11" s="7" t="n"/>
      <c r="H11" s="7" t="n"/>
    </row>
    <row r="12">
      <c r="A12" t="inlineStr">
        <is>
          <t>Excess mortality (% above expected)</t>
        </is>
      </c>
      <c r="B12" s="7" t="n"/>
      <c r="C12" t="inlineStr">
        <is>
          <t>%</t>
        </is>
      </c>
      <c r="D12" s="7" t="n"/>
      <c r="E12" s="7" t="n"/>
      <c r="F12" s="7" t="n"/>
      <c r="G12" s="7" t="n"/>
      <c r="H12" s="7" t="n"/>
    </row>
    <row r="13">
      <c r="A13" t="inlineStr">
        <is>
          <t>Peak Stringency Index (value)</t>
        </is>
      </c>
      <c r="B13" s="7" t="n"/>
      <c r="C13" t="inlineStr">
        <is>
          <t>0-100</t>
        </is>
      </c>
      <c r="D13" s="7" t="n"/>
      <c r="E13" s="7" t="n"/>
      <c r="F13" s="7" t="n"/>
      <c r="G13" s="7" t="n"/>
      <c r="H13" s="7" t="n"/>
    </row>
    <row r="14">
      <c r="A14" t="inlineStr">
        <is>
          <t>Peak Stringency Index (date)</t>
        </is>
      </c>
      <c r="B14" s="7" t="n"/>
      <c r="C14" t="inlineStr">
        <is>
          <t>date</t>
        </is>
      </c>
      <c r="D14" s="7" t="n"/>
      <c r="E14" s="7" t="n"/>
      <c r="F14" s="7" t="n"/>
      <c r="G14" s="7" t="n"/>
      <c r="H14" s="7" t="n"/>
    </row>
    <row r="15">
      <c r="A15" t="inlineStr">
        <is>
          <t>Stringency Index in P2 (Q2 2020 average)</t>
        </is>
      </c>
      <c r="B15" s="7" t="n"/>
      <c r="C15" t="inlineStr">
        <is>
          <t>0-100</t>
        </is>
      </c>
      <c r="D15" s="7" t="n"/>
      <c r="E15" s="7" t="n"/>
      <c r="F15" s="7" t="n"/>
      <c r="G15" s="7" t="n"/>
      <c r="H15" s="7" t="n"/>
    </row>
    <row r="16">
      <c r="A16" t="inlineStr">
        <is>
          <t>Stringency Index in P3 (later period average)</t>
        </is>
      </c>
      <c r="B16" s="7" t="n"/>
      <c r="C16" t="inlineStr">
        <is>
          <t>0-100</t>
        </is>
      </c>
      <c r="D16" s="7" t="n"/>
      <c r="E16" s="7" t="n"/>
      <c r="F16" s="7" t="n"/>
      <c r="G16" s="7" t="n"/>
      <c r="H16" s="7" t="n"/>
    </row>
    <row r="17">
      <c r="A17" t="inlineStr">
        <is>
          <t>MCO 1 dates (18 Mar 2020 start - verify end)</t>
        </is>
      </c>
      <c r="B17" s="7" t="n"/>
      <c r="C17" t="inlineStr">
        <is>
          <t>dates</t>
        </is>
      </c>
      <c r="D17" s="7" t="n"/>
      <c r="E17" s="7" t="n"/>
      <c r="F17" s="7" t="n"/>
      <c r="G17" s="7" t="n"/>
      <c r="H17" s="7" t="n"/>
    </row>
    <row r="18">
      <c r="A18" t="inlineStr">
        <is>
          <t>MCO 3.0 / FMCO dates (verify: sources differ)</t>
        </is>
      </c>
      <c r="B18" s="7" t="n"/>
      <c r="C18" t="inlineStr">
        <is>
          <t>dates</t>
        </is>
      </c>
      <c r="D18" s="7" t="n"/>
      <c r="E18" s="7" t="n"/>
      <c r="F18" s="7" t="n"/>
      <c r="G18" s="7" t="n"/>
      <c r="H18" s="7" t="n"/>
    </row>
    <row r="19">
      <c r="A19" t="inlineStr">
        <is>
          <t>Stimulus: total of 2020 packages (PRIHATIN, PRIHATIN SME+, PENJANA, KITA PRIHATIN)</t>
        </is>
      </c>
      <c r="B19" s="7" t="n"/>
      <c r="C19" t="inlineStr">
        <is>
          <t>RM bn</t>
        </is>
      </c>
      <c r="D19" s="7" t="n"/>
      <c r="E19" s="7" t="n"/>
      <c r="F19" s="7" t="n"/>
      <c r="G19" s="7" t="n"/>
      <c r="H19" s="7" t="n"/>
    </row>
    <row r="20">
      <c r="A20" t="inlineStr">
        <is>
          <t>Stimulus: total of all eight packages</t>
        </is>
      </c>
      <c r="B20" s="7" t="n"/>
      <c r="C20" t="inlineStr">
        <is>
          <t>RM bn</t>
        </is>
      </c>
      <c r="D20" s="7" t="n"/>
      <c r="E20" s="7" t="n"/>
      <c r="F20" s="7" t="n"/>
      <c r="G20" s="7" t="n"/>
      <c r="H20" s="7" t="n"/>
    </row>
    <row r="21">
      <c r="A21" t="inlineStr">
        <is>
          <t>Stimulus: amount actually disbursed (give date)</t>
        </is>
      </c>
      <c r="B21" s="7" t="n"/>
      <c r="C21" t="inlineStr">
        <is>
          <t>RM bn</t>
        </is>
      </c>
      <c r="D21" s="7" t="n"/>
      <c r="E21" s="7" t="n"/>
      <c r="F21" s="7" t="n"/>
      <c r="G21" s="7" t="n"/>
      <c r="H21" s="7" t="n"/>
    </row>
    <row r="22">
      <c r="A22" t="inlineStr">
        <is>
          <t>Stimulus as % of GDP</t>
        </is>
      </c>
      <c r="B22" s="7" t="n"/>
      <c r="C22" t="inlineStr">
        <is>
          <t>%</t>
        </is>
      </c>
      <c r="D22" s="7" t="n"/>
      <c r="E22" s="7" t="n"/>
      <c r="F22" s="7" t="n"/>
      <c r="G22" s="7" t="n"/>
      <c r="H22" s="7" t="n"/>
    </row>
    <row r="23">
      <c r="A23" t="inlineStr">
        <is>
          <t>Sudden price change #1 (market, % change, period)</t>
        </is>
      </c>
      <c r="B23" s="7" t="n"/>
      <c r="C23" t="inlineStr">
        <is>
          <t>%</t>
        </is>
      </c>
      <c r="D23" s="7" t="n"/>
      <c r="E23" s="7" t="n"/>
      <c r="F23" s="7" t="n"/>
      <c r="G23" s="7" t="n"/>
      <c r="H23" s="7" t="n"/>
    </row>
    <row r="24">
      <c r="A24" t="inlineStr">
        <is>
          <t>Sudden price change #2</t>
        </is>
      </c>
      <c r="B24" s="7" t="n"/>
      <c r="C24" t="inlineStr">
        <is>
          <t>%</t>
        </is>
      </c>
      <c r="D24" s="7" t="n"/>
      <c r="E24" s="7" t="n"/>
      <c r="F24" s="7" t="n"/>
      <c r="G24" s="7" t="n"/>
      <c r="H24" s="7" t="n"/>
    </row>
    <row r="25">
      <c r="A25" t="inlineStr">
        <is>
          <t>Sudden price change #3</t>
        </is>
      </c>
      <c r="B25" s="7" t="n"/>
      <c r="C25" t="inlineStr">
        <is>
          <t>%</t>
        </is>
      </c>
      <c r="D25" s="7" t="n"/>
      <c r="E25" s="7" t="n"/>
      <c r="F25" s="7" t="n"/>
      <c r="G25" s="7" t="n"/>
      <c r="H25" s="7" t="n"/>
    </row>
    <row r="26">
      <c r="A26" t="inlineStr">
        <is>
          <t>Sudden price change #4</t>
        </is>
      </c>
      <c r="B26" s="7" t="n"/>
      <c r="C26" t="inlineStr">
        <is>
          <t>%</t>
        </is>
      </c>
      <c r="D26" s="7" t="n"/>
      <c r="E26" s="7" t="n"/>
      <c r="F26" s="7" t="n"/>
      <c r="G26" s="7" t="n"/>
      <c r="H26" s="7" t="n"/>
    </row>
    <row r="28">
      <c r="A28" s="8" t="inlineStr">
        <is>
          <t>Leads to verify against the primary source (do not copy): Ministry of Finance gave different totals at different dates; one source puts PERMAI at RM10.11bn and another at RM15bn. Use the Ministry of Finance primary document and state the date.</t>
        </is>
      </c>
    </row>
    <row r="29">
      <c r="A29" s="8" t="inlineStr">
        <is>
          <t>Need at least TWO international sources from the Country List sheet (e.g. WHO dashboard, Our World in Data, Oxford tracker, IMF policy tracker, World Bank).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0" customWidth="1" min="4" max="4"/>
    <col width="30" customWidth="1" min="5" max="5"/>
    <col width="18" customWidth="1" min="6" max="6"/>
    <col width="30" customWidth="1" min="7" max="7"/>
    <col width="50" customWidth="1" min="8" max="8"/>
    <col width="14" customWidth="1" min="9" max="9"/>
    <col width="30" customWidth="1" min="10" max="10"/>
  </cols>
  <sheetData>
    <row r="1">
      <c r="A1" s="9" t="inlineStr">
        <is>
          <t>Otabek: Rubber gloves (exports), demand-shock good</t>
        </is>
      </c>
    </row>
    <row r="2">
      <c r="A2" t="inlineStr">
        <is>
          <t>Price (P): Unit value = export value / export quantity, HS 4015.19 (DOSM trade data). Sum the 3 months, then divide total value by total quantity</t>
        </is>
      </c>
    </row>
    <row r="3">
      <c r="A3" t="inlineStr">
        <is>
          <t>Quantity (Q): Export quantity (sum of 3 months)</t>
        </is>
      </c>
    </row>
    <row r="4">
      <c r="A4" t="inlineStr">
        <is>
          <t>Fill the yellow cells. Task4_Elasticity and the chart read from here.</t>
        </is>
      </c>
    </row>
    <row r="6">
      <c r="A6" s="4" t="inlineStr">
        <is>
          <t>Period</t>
        </is>
      </c>
      <c r="B6" s="4" t="inlineStr">
        <is>
          <t>Quarter</t>
        </is>
      </c>
      <c r="C6" s="4" t="inlineStr">
        <is>
          <t>Price (P)</t>
        </is>
      </c>
      <c r="D6" s="4" t="inlineStr">
        <is>
          <t>P unit</t>
        </is>
      </c>
      <c r="E6" s="4" t="inlineStr">
        <is>
          <t>Quantity (Q)</t>
        </is>
      </c>
      <c r="F6" s="4" t="inlineStr">
        <is>
          <t>Q unit</t>
        </is>
      </c>
      <c r="G6" s="4" t="inlineStr">
        <is>
          <t>Source name</t>
        </is>
      </c>
      <c r="H6" s="4" t="inlineStr">
        <is>
          <t>Exact URL</t>
        </is>
      </c>
      <c r="I6" s="4" t="inlineStr">
        <is>
          <t>Retrieved on</t>
        </is>
      </c>
      <c r="J6" s="4" t="inlineStr">
        <is>
          <t>Table / series used</t>
        </is>
      </c>
    </row>
    <row r="7">
      <c r="A7" t="inlineStr">
        <is>
          <t>P1 pre-pandemic</t>
        </is>
      </c>
      <c r="B7" t="inlineStr">
        <is>
          <t>Q4 2019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P2 pandemic</t>
        </is>
      </c>
      <c r="B8" t="inlineStr">
        <is>
          <t>Q2 2020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t="inlineStr">
        <is>
          <t>P3 later</t>
        </is>
      </c>
      <c r="B9" t="inlineStr">
        <is>
          <t>Q4 2021 (confirm)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1">
      <c r="A11" s="10" t="inlineStr">
        <is>
          <t>Monthly raw data (paste the downloaded series below, then aggregate into the quarterly values above)</t>
        </is>
      </c>
    </row>
    <row r="12">
      <c r="A12" s="4" t="inlineStr">
        <is>
          <t>Month</t>
        </is>
      </c>
      <c r="B12" s="4" t="inlineStr">
        <is>
          <t>Price</t>
        </is>
      </c>
      <c r="C12" s="4" t="inlineStr">
        <is>
          <t>Quantity</t>
        </is>
      </c>
      <c r="D12" s="4" t="inlineStr">
        <is>
          <t>Source / table</t>
        </is>
      </c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2">
      <c r="A32" s="10" t="inlineStr">
        <is>
          <t>Shock classification (fill after the numbers are in)</t>
        </is>
      </c>
    </row>
    <row r="33">
      <c r="A33" t="inlineStr">
        <is>
          <t>Direction of P, P1 to P2 (up/down)</t>
        </is>
      </c>
      <c r="C33" s="7" t="n"/>
    </row>
    <row r="34">
      <c r="A34" t="inlineStr">
        <is>
          <t>Direction of Q, P1 to P2 (up/down)</t>
        </is>
      </c>
      <c r="C34" s="7" t="n"/>
    </row>
    <row r="35">
      <c r="A35" t="inlineStr">
        <is>
          <t>Same direction = demand shock (compute PES). Opposite = supply shock (compute PED).</t>
        </is>
      </c>
    </row>
    <row r="36">
      <c r="A36" t="inlineStr">
        <is>
          <t>Does the data match this slot? If not, swap market with the group.</t>
        </is>
      </c>
      <c r="C36" s="7" t="n"/>
    </row>
    <row r="38">
      <c r="A38" s="10" t="inlineStr">
        <is>
          <t>Case study (one named firm, sector body or public institution, with a dated source)</t>
        </is>
      </c>
    </row>
    <row r="39">
      <c r="A39" s="4" t="inlineStr">
        <is>
          <t>Name</t>
        </is>
      </c>
      <c r="B39" s="4" t="inlineStr">
        <is>
          <t>Type (firm/body/institution)</t>
        </is>
      </c>
      <c r="C39" s="4" t="inlineStr">
        <is>
          <t>What happened</t>
        </is>
      </c>
      <c r="D39" s="4" t="inlineStr">
        <is>
          <t>Source, date</t>
        </is>
      </c>
      <c r="E39" s="4" t="inlineStr">
        <is>
          <t>Exact URL</t>
        </is>
      </c>
      <c r="F39" s="4" t="inlineStr"/>
      <c r="G39" s="4" t="inlineStr"/>
      <c r="H39" s="4" t="inlineStr"/>
      <c r="I39" s="4" t="inlineStr"/>
      <c r="J39" s="4" t="inlineStr"/>
    </row>
    <row r="40">
      <c r="A40" s="7" t="n"/>
      <c r="B40" s="7" t="n"/>
      <c r="C40" s="7" t="n"/>
      <c r="D40" s="7" t="n"/>
      <c r="E40" s="7" t="n"/>
    </row>
    <row r="42">
      <c r="A42" s="10" t="inlineStr">
        <is>
          <t>Stabilisation actions and what the data shows</t>
        </is>
      </c>
    </row>
    <row r="43">
      <c r="A43" s="4" t="inlineStr">
        <is>
          <t>Actor (company/government/foreign country)</t>
        </is>
      </c>
      <c r="B43" s="4" t="inlineStr">
        <is>
          <t>Action</t>
        </is>
      </c>
      <c r="C43" s="4" t="inlineStr">
        <is>
          <t>Date</t>
        </is>
      </c>
      <c r="D43" s="4" t="inlineStr">
        <is>
          <t>Source, URL</t>
        </is>
      </c>
      <c r="E43" s="4" t="inlineStr">
        <is>
          <t>Effect on P and Q (cite numbers)</t>
        </is>
      </c>
      <c r="F43" s="4" t="inlineStr"/>
      <c r="G43" s="4" t="inlineStr"/>
      <c r="H43" s="4" t="inlineStr"/>
      <c r="I43" s="4" t="inlineStr"/>
      <c r="J43" s="4" t="inlineStr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0" customWidth="1" min="4" max="4"/>
    <col width="30" customWidth="1" min="5" max="5"/>
    <col width="18" customWidth="1" min="6" max="6"/>
    <col width="30" customWidth="1" min="7" max="7"/>
    <col width="50" customWidth="1" min="8" max="8"/>
    <col width="14" customWidth="1" min="9" max="9"/>
    <col width="30" customWidth="1" min="10" max="10"/>
  </cols>
  <sheetData>
    <row r="1">
      <c r="A1" s="9" t="inlineStr">
        <is>
          <t>O'lmasbek: Restaurants / food &amp; beverage (or hotels), demand-shock service</t>
        </is>
      </c>
    </row>
    <row r="2">
      <c r="A2" t="inlineStr">
        <is>
          <t>Price (P): DOSM SPPI: restaurants and mobile food service index</t>
        </is>
      </c>
    </row>
    <row r="3">
      <c r="A3" t="inlineStr">
        <is>
          <t>Quantity (Q): DOSM Volume Index of Services: food &amp; beverage sub-sector</t>
        </is>
      </c>
    </row>
    <row r="4">
      <c r="A4" t="inlineStr">
        <is>
          <t>Fill the yellow cells. Task4_Elasticity and the chart read from here.</t>
        </is>
      </c>
    </row>
    <row r="6">
      <c r="A6" s="4" t="inlineStr">
        <is>
          <t>Period</t>
        </is>
      </c>
      <c r="B6" s="4" t="inlineStr">
        <is>
          <t>Quarter</t>
        </is>
      </c>
      <c r="C6" s="4" t="inlineStr">
        <is>
          <t>Price (P)</t>
        </is>
      </c>
      <c r="D6" s="4" t="inlineStr">
        <is>
          <t>P unit</t>
        </is>
      </c>
      <c r="E6" s="4" t="inlineStr">
        <is>
          <t>Quantity (Q)</t>
        </is>
      </c>
      <c r="F6" s="4" t="inlineStr">
        <is>
          <t>Q unit</t>
        </is>
      </c>
      <c r="G6" s="4" t="inlineStr">
        <is>
          <t>Source name</t>
        </is>
      </c>
      <c r="H6" s="4" t="inlineStr">
        <is>
          <t>Exact URL</t>
        </is>
      </c>
      <c r="I6" s="4" t="inlineStr">
        <is>
          <t>Retrieved on</t>
        </is>
      </c>
      <c r="J6" s="4" t="inlineStr">
        <is>
          <t>Table / series used</t>
        </is>
      </c>
    </row>
    <row r="7">
      <c r="A7" t="inlineStr">
        <is>
          <t>P1 pre-pandemic</t>
        </is>
      </c>
      <c r="B7" t="inlineStr">
        <is>
          <t>Q4 2019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P2 pandemic</t>
        </is>
      </c>
      <c r="B8" t="inlineStr">
        <is>
          <t>Q2 2020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t="inlineStr">
        <is>
          <t>P3 later</t>
        </is>
      </c>
      <c r="B9" t="inlineStr">
        <is>
          <t>Q4 2021 (confirm)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1">
      <c r="A11" s="10" t="inlineStr">
        <is>
          <t>Monthly raw data (paste the downloaded series below, then aggregate into the quarterly values above)</t>
        </is>
      </c>
    </row>
    <row r="12">
      <c r="A12" s="4" t="inlineStr">
        <is>
          <t>Month</t>
        </is>
      </c>
      <c r="B12" s="4" t="inlineStr">
        <is>
          <t>Price</t>
        </is>
      </c>
      <c r="C12" s="4" t="inlineStr">
        <is>
          <t>Quantity</t>
        </is>
      </c>
      <c r="D12" s="4" t="inlineStr">
        <is>
          <t>Source / table</t>
        </is>
      </c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2">
      <c r="A32" s="10" t="inlineStr">
        <is>
          <t>Shock classification (fill after the numbers are in)</t>
        </is>
      </c>
    </row>
    <row r="33">
      <c r="A33" t="inlineStr">
        <is>
          <t>Direction of P, P1 to P2 (up/down)</t>
        </is>
      </c>
      <c r="C33" s="7" t="n"/>
    </row>
    <row r="34">
      <c r="A34" t="inlineStr">
        <is>
          <t>Direction of Q, P1 to P2 (up/down)</t>
        </is>
      </c>
      <c r="C34" s="7" t="n"/>
    </row>
    <row r="35">
      <c r="A35" t="inlineStr">
        <is>
          <t>Same direction = demand shock (compute PES). Opposite = supply shock (compute PED).</t>
        </is>
      </c>
    </row>
    <row r="36">
      <c r="A36" t="inlineStr">
        <is>
          <t>Does the data match this slot? If not, swap market with the group.</t>
        </is>
      </c>
      <c r="C36" s="7" t="n"/>
    </row>
    <row r="38">
      <c r="A38" s="10" t="inlineStr">
        <is>
          <t>Case study (one named firm, sector body or public institution, with a dated source)</t>
        </is>
      </c>
    </row>
    <row r="39">
      <c r="A39" s="4" t="inlineStr">
        <is>
          <t>Name</t>
        </is>
      </c>
      <c r="B39" s="4" t="inlineStr">
        <is>
          <t>Type (firm/body/institution)</t>
        </is>
      </c>
      <c r="C39" s="4" t="inlineStr">
        <is>
          <t>What happened</t>
        </is>
      </c>
      <c r="D39" s="4" t="inlineStr">
        <is>
          <t>Source, date</t>
        </is>
      </c>
      <c r="E39" s="4" t="inlineStr">
        <is>
          <t>Exact URL</t>
        </is>
      </c>
      <c r="F39" s="4" t="inlineStr"/>
      <c r="G39" s="4" t="inlineStr"/>
      <c r="H39" s="4" t="inlineStr"/>
      <c r="I39" s="4" t="inlineStr"/>
      <c r="J39" s="4" t="inlineStr"/>
    </row>
    <row r="40">
      <c r="A40" s="7" t="n"/>
      <c r="B40" s="7" t="n"/>
      <c r="C40" s="7" t="n"/>
      <c r="D40" s="7" t="n"/>
      <c r="E40" s="7" t="n"/>
    </row>
    <row r="42">
      <c r="A42" s="10" t="inlineStr">
        <is>
          <t>Stabilisation actions and what the data shows</t>
        </is>
      </c>
    </row>
    <row r="43">
      <c r="A43" s="4" t="inlineStr">
        <is>
          <t>Actor (company/government/foreign country)</t>
        </is>
      </c>
      <c r="B43" s="4" t="inlineStr">
        <is>
          <t>Action</t>
        </is>
      </c>
      <c r="C43" s="4" t="inlineStr">
        <is>
          <t>Date</t>
        </is>
      </c>
      <c r="D43" s="4" t="inlineStr">
        <is>
          <t>Source, URL</t>
        </is>
      </c>
      <c r="E43" s="4" t="inlineStr">
        <is>
          <t>Effect on P and Q (cite numbers)</t>
        </is>
      </c>
      <c r="F43" s="4" t="inlineStr"/>
      <c r="G43" s="4" t="inlineStr"/>
      <c r="H43" s="4" t="inlineStr"/>
      <c r="I43" s="4" t="inlineStr"/>
      <c r="J43" s="4" t="inlineStr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0" customWidth="1" min="4" max="4"/>
    <col width="30" customWidth="1" min="5" max="5"/>
    <col width="18" customWidth="1" min="6" max="6"/>
    <col width="30" customWidth="1" min="7" max="7"/>
    <col width="50" customWidth="1" min="8" max="8"/>
    <col width="14" customWidth="1" min="9" max="9"/>
    <col width="30" customWidth="1" min="10" max="10"/>
  </cols>
  <sheetData>
    <row r="1">
      <c r="A1" s="9" t="inlineStr">
        <is>
          <t>Bagdad: Crude palm oil, supply-shock good</t>
        </is>
      </c>
    </row>
    <row r="2">
      <c r="A2" t="inlineStr">
        <is>
          <t>Price (P): MPOB local delivered price, RM/tonne (average of 3 months)</t>
        </is>
      </c>
    </row>
    <row r="3">
      <c r="A3" t="inlineStr">
        <is>
          <t>Quantity (Q): MPOB production, tonnes (sum of 3 months)</t>
        </is>
      </c>
    </row>
    <row r="4">
      <c r="A4" t="inlineStr">
        <is>
          <t>Fill the yellow cells. Task4_Elasticity and the chart read from here.</t>
        </is>
      </c>
    </row>
    <row r="6">
      <c r="A6" s="4" t="inlineStr">
        <is>
          <t>Period</t>
        </is>
      </c>
      <c r="B6" s="4" t="inlineStr">
        <is>
          <t>Quarter</t>
        </is>
      </c>
      <c r="C6" s="4" t="inlineStr">
        <is>
          <t>Price (P)</t>
        </is>
      </c>
      <c r="D6" s="4" t="inlineStr">
        <is>
          <t>P unit</t>
        </is>
      </c>
      <c r="E6" s="4" t="inlineStr">
        <is>
          <t>Quantity (Q)</t>
        </is>
      </c>
      <c r="F6" s="4" t="inlineStr">
        <is>
          <t>Q unit</t>
        </is>
      </c>
      <c r="G6" s="4" t="inlineStr">
        <is>
          <t>Source name</t>
        </is>
      </c>
      <c r="H6" s="4" t="inlineStr">
        <is>
          <t>Exact URL</t>
        </is>
      </c>
      <c r="I6" s="4" t="inlineStr">
        <is>
          <t>Retrieved on</t>
        </is>
      </c>
      <c r="J6" s="4" t="inlineStr">
        <is>
          <t>Table / series used</t>
        </is>
      </c>
    </row>
    <row r="7">
      <c r="A7" t="inlineStr">
        <is>
          <t>P1 pre-pandemic</t>
        </is>
      </c>
      <c r="B7" t="inlineStr">
        <is>
          <t>Q4 2019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P2 pandemic</t>
        </is>
      </c>
      <c r="B8" t="inlineStr">
        <is>
          <t>Q2 2020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t="inlineStr">
        <is>
          <t>P3 later</t>
        </is>
      </c>
      <c r="B9" t="inlineStr">
        <is>
          <t>Q4 2021 (confirm)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1">
      <c r="A11" s="10" t="inlineStr">
        <is>
          <t>Monthly raw data (paste the downloaded series below, then aggregate into the quarterly values above)</t>
        </is>
      </c>
    </row>
    <row r="12">
      <c r="A12" s="4" t="inlineStr">
        <is>
          <t>Month</t>
        </is>
      </c>
      <c r="B12" s="4" t="inlineStr">
        <is>
          <t>Price</t>
        </is>
      </c>
      <c r="C12" s="4" t="inlineStr">
        <is>
          <t>Quantity</t>
        </is>
      </c>
      <c r="D12" s="4" t="inlineStr">
        <is>
          <t>Source / table</t>
        </is>
      </c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2">
      <c r="A32" s="10" t="inlineStr">
        <is>
          <t>Shock classification (fill after the numbers are in)</t>
        </is>
      </c>
    </row>
    <row r="33">
      <c r="A33" t="inlineStr">
        <is>
          <t>Direction of P, P1 to P2 (up/down)</t>
        </is>
      </c>
      <c r="C33" s="7" t="n"/>
    </row>
    <row r="34">
      <c r="A34" t="inlineStr">
        <is>
          <t>Direction of Q, P1 to P2 (up/down)</t>
        </is>
      </c>
      <c r="C34" s="7" t="n"/>
    </row>
    <row r="35">
      <c r="A35" t="inlineStr">
        <is>
          <t>Same direction = demand shock (compute PES). Opposite = supply shock (compute PED).</t>
        </is>
      </c>
    </row>
    <row r="36">
      <c r="A36" t="inlineStr">
        <is>
          <t>Does the data match this slot? If not, swap market with the group.</t>
        </is>
      </c>
      <c r="C36" s="7" t="n"/>
    </row>
    <row r="38">
      <c r="A38" s="10" t="inlineStr">
        <is>
          <t>Case study (one named firm, sector body or public institution, with a dated source)</t>
        </is>
      </c>
    </row>
    <row r="39">
      <c r="A39" s="4" t="inlineStr">
        <is>
          <t>Name</t>
        </is>
      </c>
      <c r="B39" s="4" t="inlineStr">
        <is>
          <t>Type (firm/body/institution)</t>
        </is>
      </c>
      <c r="C39" s="4" t="inlineStr">
        <is>
          <t>What happened</t>
        </is>
      </c>
      <c r="D39" s="4" t="inlineStr">
        <is>
          <t>Source, date</t>
        </is>
      </c>
      <c r="E39" s="4" t="inlineStr">
        <is>
          <t>Exact URL</t>
        </is>
      </c>
      <c r="F39" s="4" t="inlineStr"/>
      <c r="G39" s="4" t="inlineStr"/>
      <c r="H39" s="4" t="inlineStr"/>
      <c r="I39" s="4" t="inlineStr"/>
      <c r="J39" s="4" t="inlineStr"/>
    </row>
    <row r="40">
      <c r="A40" s="7" t="n"/>
      <c r="B40" s="7" t="n"/>
      <c r="C40" s="7" t="n"/>
      <c r="D40" s="7" t="n"/>
      <c r="E40" s="7" t="n"/>
    </row>
    <row r="42">
      <c r="A42" s="10" t="inlineStr">
        <is>
          <t>Stabilisation actions and what the data shows</t>
        </is>
      </c>
    </row>
    <row r="43">
      <c r="A43" s="4" t="inlineStr">
        <is>
          <t>Actor (company/government/foreign country)</t>
        </is>
      </c>
      <c r="B43" s="4" t="inlineStr">
        <is>
          <t>Action</t>
        </is>
      </c>
      <c r="C43" s="4" t="inlineStr">
        <is>
          <t>Date</t>
        </is>
      </c>
      <c r="D43" s="4" t="inlineStr">
        <is>
          <t>Source, URL</t>
        </is>
      </c>
      <c r="E43" s="4" t="inlineStr">
        <is>
          <t>Effect on P and Q (cite numbers)</t>
        </is>
      </c>
      <c r="F43" s="4" t="inlineStr"/>
      <c r="G43" s="4" t="inlineStr"/>
      <c r="H43" s="4" t="inlineStr"/>
      <c r="I43" s="4" t="inlineStr"/>
      <c r="J43" s="4" t="inlineStr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0" customWidth="1" min="4" max="4"/>
    <col width="30" customWidth="1" min="5" max="5"/>
    <col width="18" customWidth="1" min="6" max="6"/>
    <col width="30" customWidth="1" min="7" max="7"/>
    <col width="50" customWidth="1" min="8" max="8"/>
    <col width="14" customWidth="1" min="9" max="9"/>
    <col width="30" customWidth="1" min="10" max="10"/>
  </cols>
  <sheetData>
    <row r="1">
      <c r="A1" s="9" t="inlineStr">
        <is>
          <t>Ulug'bek: Air passenger transport, supply-shock service</t>
        </is>
      </c>
    </row>
    <row r="2">
      <c r="A2" t="inlineStr">
        <is>
          <t>Price (P): DOSM SPPI: passenger air transport</t>
        </is>
      </c>
    </row>
    <row r="3">
      <c r="A3" t="inlineStr">
        <is>
          <t>Quantity (Q): MAHB monthly passengers, Malaysia operations only, sum of 3 months (exclude Istanbul; arrivals and departures counted separately)</t>
        </is>
      </c>
    </row>
    <row r="4">
      <c r="A4" t="inlineStr">
        <is>
          <t>Fill the yellow cells. Task4_Elasticity and the chart read from here.</t>
        </is>
      </c>
    </row>
    <row r="6">
      <c r="A6" s="4" t="inlineStr">
        <is>
          <t>Period</t>
        </is>
      </c>
      <c r="B6" s="4" t="inlineStr">
        <is>
          <t>Quarter</t>
        </is>
      </c>
      <c r="C6" s="4" t="inlineStr">
        <is>
          <t>Price (P)</t>
        </is>
      </c>
      <c r="D6" s="4" t="inlineStr">
        <is>
          <t>P unit</t>
        </is>
      </c>
      <c r="E6" s="4" t="inlineStr">
        <is>
          <t>Quantity (Q)</t>
        </is>
      </c>
      <c r="F6" s="4" t="inlineStr">
        <is>
          <t>Q unit</t>
        </is>
      </c>
      <c r="G6" s="4" t="inlineStr">
        <is>
          <t>Source name</t>
        </is>
      </c>
      <c r="H6" s="4" t="inlineStr">
        <is>
          <t>Exact URL</t>
        </is>
      </c>
      <c r="I6" s="4" t="inlineStr">
        <is>
          <t>Retrieved on</t>
        </is>
      </c>
      <c r="J6" s="4" t="inlineStr">
        <is>
          <t>Table / series used</t>
        </is>
      </c>
    </row>
    <row r="7">
      <c r="A7" t="inlineStr">
        <is>
          <t>P1 pre-pandemic</t>
        </is>
      </c>
      <c r="B7" t="inlineStr">
        <is>
          <t>Q4 2019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P2 pandemic</t>
        </is>
      </c>
      <c r="B8" t="inlineStr">
        <is>
          <t>Q2 2020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t="inlineStr">
        <is>
          <t>P3 later</t>
        </is>
      </c>
      <c r="B9" t="inlineStr">
        <is>
          <t>Q4 2021 (confirm)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1">
      <c r="A11" s="10" t="inlineStr">
        <is>
          <t>Monthly raw data (paste the downloaded series below, then aggregate into the quarterly values above)</t>
        </is>
      </c>
    </row>
    <row r="12">
      <c r="A12" s="4" t="inlineStr">
        <is>
          <t>Month</t>
        </is>
      </c>
      <c r="B12" s="4" t="inlineStr">
        <is>
          <t>Price</t>
        </is>
      </c>
      <c r="C12" s="4" t="inlineStr">
        <is>
          <t>Quantity</t>
        </is>
      </c>
      <c r="D12" s="4" t="inlineStr">
        <is>
          <t>Source / table</t>
        </is>
      </c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2">
      <c r="A32" s="10" t="inlineStr">
        <is>
          <t>Shock classification (fill after the numbers are in)</t>
        </is>
      </c>
    </row>
    <row r="33">
      <c r="A33" t="inlineStr">
        <is>
          <t>Direction of P, P1 to P2 (up/down)</t>
        </is>
      </c>
      <c r="C33" s="7" t="n"/>
    </row>
    <row r="34">
      <c r="A34" t="inlineStr">
        <is>
          <t>Direction of Q, P1 to P2 (up/down)</t>
        </is>
      </c>
      <c r="C34" s="7" t="n"/>
    </row>
    <row r="35">
      <c r="A35" t="inlineStr">
        <is>
          <t>Same direction = demand shock (compute PES). Opposite = supply shock (compute PED).</t>
        </is>
      </c>
    </row>
    <row r="36">
      <c r="A36" t="inlineStr">
        <is>
          <t>Does the data match this slot? If not, swap market with the group.</t>
        </is>
      </c>
      <c r="C36" s="7" t="n"/>
    </row>
    <row r="38">
      <c r="A38" s="10" t="inlineStr">
        <is>
          <t>Case study (one named firm, sector body or public institution, with a dated source)</t>
        </is>
      </c>
    </row>
    <row r="39">
      <c r="A39" s="4" t="inlineStr">
        <is>
          <t>Name</t>
        </is>
      </c>
      <c r="B39" s="4" t="inlineStr">
        <is>
          <t>Type (firm/body/institution)</t>
        </is>
      </c>
      <c r="C39" s="4" t="inlineStr">
        <is>
          <t>What happened</t>
        </is>
      </c>
      <c r="D39" s="4" t="inlineStr">
        <is>
          <t>Source, date</t>
        </is>
      </c>
      <c r="E39" s="4" t="inlineStr">
        <is>
          <t>Exact URL</t>
        </is>
      </c>
      <c r="F39" s="4" t="inlineStr"/>
      <c r="G39" s="4" t="inlineStr"/>
      <c r="H39" s="4" t="inlineStr"/>
      <c r="I39" s="4" t="inlineStr"/>
      <c r="J39" s="4" t="inlineStr"/>
    </row>
    <row r="40">
      <c r="A40" s="7" t="n"/>
      <c r="B40" s="7" t="n"/>
      <c r="C40" s="7" t="n"/>
      <c r="D40" s="7" t="n"/>
      <c r="E40" s="7" t="n"/>
    </row>
    <row r="42">
      <c r="A42" s="10" t="inlineStr">
        <is>
          <t>Stabilisation actions and what the data shows</t>
        </is>
      </c>
    </row>
    <row r="43">
      <c r="A43" s="4" t="inlineStr">
        <is>
          <t>Actor (company/government/foreign country)</t>
        </is>
      </c>
      <c r="B43" s="4" t="inlineStr">
        <is>
          <t>Action</t>
        </is>
      </c>
      <c r="C43" s="4" t="inlineStr">
        <is>
          <t>Date</t>
        </is>
      </c>
      <c r="D43" s="4" t="inlineStr">
        <is>
          <t>Source, URL</t>
        </is>
      </c>
      <c r="E43" s="4" t="inlineStr">
        <is>
          <t>Effect on P and Q (cite numbers)</t>
        </is>
      </c>
      <c r="F43" s="4" t="inlineStr"/>
      <c r="G43" s="4" t="inlineStr"/>
      <c r="H43" s="4" t="inlineStr"/>
      <c r="I43" s="4" t="inlineStr"/>
      <c r="J43" s="4" t="inlineStr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  <col width="16" customWidth="1" min="8" max="8"/>
    <col width="10" customWidth="1" min="9" max="9"/>
    <col width="20" customWidth="1" min="10" max="10"/>
    <col width="10" customWidth="1" min="11" max="11"/>
    <col width="60" customWidth="1" min="12" max="12"/>
  </cols>
  <sheetData>
    <row r="1">
      <c r="A1" s="9" t="inlineStr">
        <is>
          <t>Arc (midpoint) elasticity between P1 (Q4 2019) and P2 (Q2 2020)</t>
        </is>
      </c>
    </row>
    <row r="2">
      <c r="A2" t="inlineStr">
        <is>
          <t>E = [(Q2-Q1)/((Q2+Q1)/2)] / [(P2-P1)/((P2+P1)/2)]. Demand shock (same direction): this is PES. Supply shock (opposite): this is PED (report |E|).</t>
        </is>
      </c>
    </row>
    <row r="4">
      <c r="A4" s="4" t="inlineStr">
        <is>
          <t>Market</t>
        </is>
      </c>
      <c r="B4" s="4" t="inlineStr">
        <is>
          <t>P1</t>
        </is>
      </c>
      <c r="C4" s="4" t="inlineStr">
        <is>
          <t>P2</t>
        </is>
      </c>
      <c r="D4" s="4" t="inlineStr">
        <is>
          <t>Q1</t>
        </is>
      </c>
      <c r="E4" s="4" t="inlineStr">
        <is>
          <t>Q2</t>
        </is>
      </c>
      <c r="F4" s="4" t="inlineStr">
        <is>
          <t>%change Q (midpoint)</t>
        </is>
      </c>
      <c r="G4" s="4" t="inlineStr">
        <is>
          <t>%change P (midpoint)</t>
        </is>
      </c>
      <c r="H4" s="4" t="inlineStr">
        <is>
          <t>Arc elasticity E</t>
        </is>
      </c>
      <c r="I4" s="4" t="inlineStr">
        <is>
          <t>|E|</t>
        </is>
      </c>
      <c r="J4" s="4" t="inlineStr">
        <is>
          <t>Shock type (from data)</t>
        </is>
      </c>
      <c r="K4" s="4" t="inlineStr">
        <is>
          <t>Measure</t>
        </is>
      </c>
      <c r="L4" s="4" t="inlineStr">
        <is>
          <t>Interpretation (one line)</t>
        </is>
      </c>
    </row>
    <row r="5">
      <c r="A5" t="inlineStr">
        <is>
          <t>Rubber gloves</t>
        </is>
      </c>
      <c r="B5">
        <f>IF(Otabek_Gloves!C7="","",Otabek_Gloves!C7)</f>
        <v/>
      </c>
      <c r="C5">
        <f>IF(Otabek_Gloves!C8="","",Otabek_Gloves!C8)</f>
        <v/>
      </c>
      <c r="D5">
        <f>IF(Otabek_Gloves!E7="","",Otabek_Gloves!E7)</f>
        <v/>
      </c>
      <c r="E5">
        <f>IF(Otabek_Gloves!E8="","",Otabek_Gloves!E8)</f>
        <v/>
      </c>
      <c r="F5" s="11">
        <f>IFERROR((E5-D5)/((E5+D5)/2),"")</f>
        <v/>
      </c>
      <c r="G5" s="11">
        <f>IFERROR((C5-B5)/((C5+B5)/2),"")</f>
        <v/>
      </c>
      <c r="H5" s="12">
        <f>IFERROR(F5/G5,"")</f>
        <v/>
      </c>
      <c r="I5" s="12">
        <f>IFERROR(ABS(H5),"")</f>
        <v/>
      </c>
      <c r="J5">
        <f>IFERROR(IF(F5*G5&gt;0,"Demand shock","Supply shock"),"")</f>
        <v/>
      </c>
      <c r="K5">
        <f>IFERROR(IF(F5*G5&gt;0,"PES","PED"),"")</f>
        <v/>
      </c>
      <c r="L5" s="7" t="n"/>
    </row>
    <row r="6">
      <c r="A6" t="inlineStr">
        <is>
          <t>Restaurants / hotels</t>
        </is>
      </c>
      <c r="B6">
        <f>IF(Olmasbek_Services!C7="","",Olmasbek_Services!C7)</f>
        <v/>
      </c>
      <c r="C6">
        <f>IF(Olmasbek_Services!C8="","",Olmasbek_Services!C8)</f>
        <v/>
      </c>
      <c r="D6">
        <f>IF(Olmasbek_Services!E7="","",Olmasbek_Services!E7)</f>
        <v/>
      </c>
      <c r="E6">
        <f>IF(Olmasbek_Services!E8="","",Olmasbek_Services!E8)</f>
        <v/>
      </c>
      <c r="F6" s="11">
        <f>IFERROR((E6-D6)/((E6+D6)/2),"")</f>
        <v/>
      </c>
      <c r="G6" s="11">
        <f>IFERROR((C6-B6)/((C6+B6)/2),"")</f>
        <v/>
      </c>
      <c r="H6" s="12">
        <f>IFERROR(F6/G6,"")</f>
        <v/>
      </c>
      <c r="I6" s="12">
        <f>IFERROR(ABS(H6),"")</f>
        <v/>
      </c>
      <c r="J6">
        <f>IFERROR(IF(F6*G6&gt;0,"Demand shock","Supply shock"),"")</f>
        <v/>
      </c>
      <c r="K6">
        <f>IFERROR(IF(F6*G6&gt;0,"PES","PED"),"")</f>
        <v/>
      </c>
      <c r="L6" s="7" t="n"/>
    </row>
    <row r="7">
      <c r="A7" t="inlineStr">
        <is>
          <t>Crude palm oil</t>
        </is>
      </c>
      <c r="B7">
        <f>IF(Bagdad_PalmOil!C7="","",Bagdad_PalmOil!C7)</f>
        <v/>
      </c>
      <c r="C7">
        <f>IF(Bagdad_PalmOil!C8="","",Bagdad_PalmOil!C8)</f>
        <v/>
      </c>
      <c r="D7">
        <f>IF(Bagdad_PalmOil!E7="","",Bagdad_PalmOil!E7)</f>
        <v/>
      </c>
      <c r="E7">
        <f>IF(Bagdad_PalmOil!E8="","",Bagdad_PalmOil!E8)</f>
        <v/>
      </c>
      <c r="F7" s="11">
        <f>IFERROR((E7-D7)/((E7+D7)/2),"")</f>
        <v/>
      </c>
      <c r="G7" s="11">
        <f>IFERROR((C7-B7)/((C7+B7)/2),"")</f>
        <v/>
      </c>
      <c r="H7" s="12">
        <f>IFERROR(F7/G7,"")</f>
        <v/>
      </c>
      <c r="I7" s="12">
        <f>IFERROR(ABS(H7),"")</f>
        <v/>
      </c>
      <c r="J7">
        <f>IFERROR(IF(F7*G7&gt;0,"Demand shock","Supply shock"),"")</f>
        <v/>
      </c>
      <c r="K7">
        <f>IFERROR(IF(F7*G7&gt;0,"PES","PED"),"")</f>
        <v/>
      </c>
      <c r="L7" s="7" t="n"/>
    </row>
    <row r="8">
      <c r="A8" t="inlineStr">
        <is>
          <t>Air passengers</t>
        </is>
      </c>
      <c r="B8">
        <f>IF(Ulugbek_Air!C7="","",Ulugbek_Air!C7)</f>
        <v/>
      </c>
      <c r="C8">
        <f>IF(Ulugbek_Air!C8="","",Ulugbek_Air!C8)</f>
        <v/>
      </c>
      <c r="D8">
        <f>IF(Ulugbek_Air!E7="","",Ulugbek_Air!E7)</f>
        <v/>
      </c>
      <c r="E8">
        <f>IF(Ulugbek_Air!E8="","",Ulugbek_Air!E8)</f>
        <v/>
      </c>
      <c r="F8" s="11">
        <f>IFERROR((E8-D8)/((E8+D8)/2),"")</f>
        <v/>
      </c>
      <c r="G8" s="11">
        <f>IFERROR((C8-B8)/((C8+B8)/2),"")</f>
        <v/>
      </c>
      <c r="H8" s="12">
        <f>IFERROR(F8/G8,"")</f>
        <v/>
      </c>
      <c r="I8" s="12">
        <f>IFERROR(ABS(H8),"")</f>
        <v/>
      </c>
      <c r="J8">
        <f>IFERROR(IF(F8*G8&gt;0,"Demand shock","Supply shock"),"")</f>
        <v/>
      </c>
      <c r="K8">
        <f>IFERROR(IF(F8*G8&gt;0,"PES","PED"),"")</f>
        <v/>
      </c>
      <c r="L8" s="7" t="n"/>
    </row>
    <row r="10">
      <c r="A10" t="inlineStr">
        <is>
          <t>Reading the result: |E|&gt;1 elastic, |E|&lt;1 inelastic, ~0 perfectly inelastic. Compare each with the theory of determinants (necessity vs luxury, substitutes, time horizon, share of income).</t>
        </is>
      </c>
    </row>
    <row r="11">
      <c r="A11" t="inlineStr">
        <is>
          <t>Warning: if a price barely moved the elasticity is extreme or unstable. Say so in the report; do not hide it.</t>
        </is>
      </c>
    </row>
    <row r="12">
      <c r="A12" t="inlineStr">
        <is>
          <t>Long-run section needs: (1) P3 data from each tab, (2) at least one relevant literature source. Log it in Source_Log.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0" customWidth="1" min="4" max="4"/>
    <col width="14" customWidth="1" min="5" max="5"/>
  </cols>
  <sheetData>
    <row r="1">
      <c r="A1" s="4" t="inlineStr">
        <is>
          <t>Member / market</t>
        </is>
      </c>
      <c r="B1" s="4" t="inlineStr">
        <is>
          <t>1) How did the change in your market affect welfare? (2-3 lines)</t>
        </is>
      </c>
      <c r="C1" s="4" t="inlineStr">
        <is>
          <t>2) Did the stabilisation actions work according to YOUR data? (cite numbers)</t>
        </is>
      </c>
      <c r="D1" s="4" t="inlineStr">
        <is>
          <t>3) Biggest limitation of YOUR data</t>
        </is>
      </c>
      <c r="E1" s="4" t="inlineStr">
        <is>
          <t>Posted on</t>
        </is>
      </c>
    </row>
    <row r="2" ht="80" customHeight="1">
      <c r="A2" t="inlineStr">
        <is>
          <t>Otabek / rubber gloves</t>
        </is>
      </c>
      <c r="B2" s="7" t="n"/>
      <c r="C2" s="7" t="n"/>
      <c r="D2" s="7" t="n"/>
      <c r="E2" s="7" t="n"/>
    </row>
    <row r="3" ht="80" customHeight="1">
      <c r="A3" t="inlineStr">
        <is>
          <t>O'lmasbek / restaurants or hotels</t>
        </is>
      </c>
      <c r="B3" s="7" t="n"/>
      <c r="C3" s="7" t="n"/>
      <c r="D3" s="7" t="n"/>
      <c r="E3" s="7" t="n"/>
    </row>
    <row r="4" ht="80" customHeight="1">
      <c r="A4" t="inlineStr">
        <is>
          <t>Bagdad / palm oil</t>
        </is>
      </c>
      <c r="B4" s="7" t="n"/>
      <c r="C4" s="7" t="n"/>
      <c r="D4" s="7" t="n"/>
      <c r="E4" s="7" t="n"/>
    </row>
    <row r="5" ht="80" customHeight="1">
      <c r="A5" t="inlineStr">
        <is>
          <t>Ulug'bek / air passengers</t>
        </is>
      </c>
      <c r="B5" s="7" t="n"/>
      <c r="C5" s="7" t="n"/>
      <c r="D5" s="7" t="n"/>
      <c r="E5" s="7" t="n"/>
    </row>
    <row r="7">
      <c r="A7" t="inlineStr">
        <is>
          <t>Islom picks the TWO biggest limitations overall from column D and explains how each affects the conclusions.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6" customWidth="1" min="4" max="4"/>
    <col width="22" customWidth="1" min="5" max="5"/>
    <col width="16" customWidth="1" min="6" max="6"/>
    <col width="14" customWidth="1" min="7" max="7"/>
  </cols>
  <sheetData>
    <row r="1">
      <c r="A1" s="4" t="inlineStr">
        <is>
          <t>#</t>
        </is>
      </c>
      <c r="B1" s="4" t="inlineStr">
        <is>
          <t>Figure (what)</t>
        </is>
      </c>
      <c r="C1" s="4" t="inlineStr">
        <is>
          <t>Value</t>
        </is>
      </c>
      <c r="D1" s="4" t="inlineStr">
        <is>
          <t>Period</t>
        </is>
      </c>
      <c r="E1" s="4" t="inlineStr">
        <is>
          <t>Used in task / slide</t>
        </is>
      </c>
      <c r="F1" s="4" t="inlineStr">
        <is>
          <t>Source_Log row</t>
        </is>
      </c>
      <c r="G1" s="4" t="inlineStr">
        <is>
          <t>Owner</t>
        </is>
      </c>
    </row>
    <row r="2">
      <c r="A2" t="n">
        <v>1</v>
      </c>
      <c r="B2" s="7" t="n"/>
      <c r="C2" s="7" t="n"/>
      <c r="D2" s="7" t="n"/>
      <c r="E2" s="7" t="n"/>
      <c r="F2" s="7" t="n"/>
      <c r="G2" s="7" t="n"/>
    </row>
    <row r="3">
      <c r="A3" t="n">
        <v>2</v>
      </c>
      <c r="B3" s="7" t="n"/>
      <c r="C3" s="7" t="n"/>
      <c r="D3" s="7" t="n"/>
      <c r="E3" s="7" t="n"/>
      <c r="F3" s="7" t="n"/>
      <c r="G3" s="7" t="n"/>
    </row>
    <row r="4">
      <c r="A4" t="n">
        <v>3</v>
      </c>
      <c r="B4" s="7" t="n"/>
      <c r="C4" s="7" t="n"/>
      <c r="D4" s="7" t="n"/>
      <c r="E4" s="7" t="n"/>
      <c r="F4" s="7" t="n"/>
      <c r="G4" s="7" t="n"/>
    </row>
    <row r="5">
      <c r="A5" t="n">
        <v>4</v>
      </c>
      <c r="B5" s="7" t="n"/>
      <c r="C5" s="7" t="n"/>
      <c r="D5" s="7" t="n"/>
      <c r="E5" s="7" t="n"/>
      <c r="F5" s="7" t="n"/>
      <c r="G5" s="7" t="n"/>
    </row>
    <row r="6">
      <c r="A6" t="n">
        <v>5</v>
      </c>
      <c r="B6" s="7" t="n"/>
      <c r="C6" s="7" t="n"/>
      <c r="D6" s="7" t="n"/>
      <c r="E6" s="7" t="n"/>
      <c r="F6" s="7" t="n"/>
      <c r="G6" s="7" t="n"/>
    </row>
    <row r="7">
      <c r="A7" t="n">
        <v>6</v>
      </c>
      <c r="B7" s="7" t="n"/>
      <c r="C7" s="7" t="n"/>
      <c r="D7" s="7" t="n"/>
      <c r="E7" s="7" t="n"/>
      <c r="F7" s="7" t="n"/>
      <c r="G7" s="7" t="n"/>
    </row>
    <row r="8">
      <c r="A8" t="n">
        <v>7</v>
      </c>
      <c r="B8" s="7" t="n"/>
      <c r="C8" s="7" t="n"/>
      <c r="D8" s="7" t="n"/>
      <c r="E8" s="7" t="n"/>
      <c r="F8" s="7" t="n"/>
      <c r="G8" s="7" t="n"/>
    </row>
    <row r="9">
      <c r="A9" t="n">
        <v>8</v>
      </c>
      <c r="B9" s="7" t="n"/>
      <c r="C9" s="7" t="n"/>
      <c r="D9" s="7" t="n"/>
      <c r="E9" s="7" t="n"/>
      <c r="F9" s="7" t="n"/>
      <c r="G9" s="7" t="n"/>
    </row>
    <row r="10">
      <c r="A10" t="n">
        <v>9</v>
      </c>
      <c r="B10" s="7" t="n"/>
      <c r="C10" s="7" t="n"/>
      <c r="D10" s="7" t="n"/>
      <c r="E10" s="7" t="n"/>
      <c r="F10" s="7" t="n"/>
      <c r="G10" s="7" t="n"/>
    </row>
    <row r="11">
      <c r="A11" t="n">
        <v>10</v>
      </c>
      <c r="B11" s="7" t="n"/>
      <c r="C11" s="7" t="n"/>
      <c r="D11" s="7" t="n"/>
      <c r="E11" s="7" t="n"/>
      <c r="F11" s="7" t="n"/>
      <c r="G11" s="7" t="n"/>
    </row>
    <row r="12">
      <c r="A12" t="n">
        <v>11</v>
      </c>
      <c r="B12" s="7" t="n"/>
      <c r="C12" s="7" t="n"/>
      <c r="D12" s="7" t="n"/>
      <c r="E12" s="7" t="n"/>
      <c r="F12" s="7" t="n"/>
      <c r="G12" s="7" t="n"/>
    </row>
    <row r="13">
      <c r="A13" t="n">
        <v>12</v>
      </c>
      <c r="B13" s="7" t="n"/>
      <c r="C13" s="7" t="n"/>
      <c r="D13" s="7" t="n"/>
      <c r="E13" s="7" t="n"/>
      <c r="F13" s="7" t="n"/>
      <c r="G13" s="7" t="n"/>
    </row>
    <row r="14">
      <c r="A14" t="n">
        <v>13</v>
      </c>
      <c r="B14" s="7" t="n"/>
      <c r="C14" s="7" t="n"/>
      <c r="D14" s="7" t="n"/>
      <c r="E14" s="7" t="n"/>
      <c r="F14" s="7" t="n"/>
      <c r="G14" s="7" t="n"/>
    </row>
    <row r="15">
      <c r="A15" t="n">
        <v>14</v>
      </c>
      <c r="B15" s="7" t="n"/>
      <c r="C15" s="7" t="n"/>
      <c r="D15" s="7" t="n"/>
      <c r="E15" s="7" t="n"/>
      <c r="F15" s="7" t="n"/>
      <c r="G15" s="7" t="n"/>
    </row>
    <row r="16">
      <c r="A16" t="n">
        <v>15</v>
      </c>
      <c r="B16" s="7" t="n"/>
      <c r="C16" s="7" t="n"/>
      <c r="D16" s="7" t="n"/>
      <c r="E16" s="7" t="n"/>
      <c r="F16" s="7" t="n"/>
      <c r="G16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30" customWidth="1" min="4" max="4"/>
    <col width="60" customWidth="1" min="5" max="5"/>
    <col width="14" customWidth="1" min="6" max="6"/>
    <col width="40" customWidth="1" min="7" max="7"/>
    <col width="16" customWidth="1" min="8" max="8"/>
    <col width="14" customWidth="1" min="9" max="9"/>
  </cols>
  <sheetData>
    <row r="1">
      <c r="A1" s="4" t="inlineStr">
        <is>
          <t>#</t>
        </is>
      </c>
      <c r="B1" s="4" t="inlineStr">
        <is>
          <t>Used by (name)</t>
        </is>
      </c>
      <c r="C1" s="4" t="inlineStr">
        <is>
          <t>Figure / series</t>
        </is>
      </c>
      <c r="D1" s="4" t="inlineStr">
        <is>
          <t>Source name</t>
        </is>
      </c>
      <c r="E1" s="4" t="inlineStr">
        <is>
          <t>Exact URL</t>
        </is>
      </c>
      <c r="F1" s="4" t="inlineStr">
        <is>
          <t>Date retrieved</t>
        </is>
      </c>
      <c r="G1" s="4" t="inlineStr">
        <is>
          <t>Table / series extracted</t>
        </is>
      </c>
      <c r="H1" s="4" t="inlineStr">
        <is>
          <t>International source? (Y/N)</t>
        </is>
      </c>
      <c r="I1" s="4" t="inlineStr">
        <is>
          <t>Checked by</t>
        </is>
      </c>
    </row>
    <row r="2">
      <c r="A2" t="n">
        <v>1</v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t="n">
        <v>2</v>
      </c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t="n">
        <v>3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t="n">
        <v>4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t="n">
        <v>5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t="n">
        <v>6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t="n">
        <v>7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t="n">
        <v>8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t="n">
        <v>9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t="n">
        <v>10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t="n">
        <v>11</v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t="n">
        <v>12</v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t="n">
        <v>13</v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t="n">
        <v>14</v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t="n">
        <v>15</v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t="n">
        <v>16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t="n">
        <v>17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t="n">
        <v>18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t="n">
        <v>19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t="n">
        <v>20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t="n">
        <v>21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t="n">
        <v>22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t="n">
        <v>23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t="n">
        <v>24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t="n">
        <v>25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t="n">
        <v>26</v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t="n">
        <v>27</v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t="n">
        <v>28</v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t="n">
        <v>29</v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t="n">
        <v>30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t="n">
        <v>31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t="n">
        <v>32</v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t="n">
        <v>33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t="n">
        <v>34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t="n">
        <v>35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t="n">
        <v>36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t="n">
        <v>37</v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t="n">
        <v>38</v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t="n">
        <v>39</v>
      </c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t="n">
        <v>40</v>
      </c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t="n">
        <v>41</v>
      </c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t="n">
        <v>42</v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t="n">
        <v>43</v>
      </c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t="n">
        <v>44</v>
      </c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t="n">
        <v>45</v>
      </c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t="n">
        <v>46</v>
      </c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t="n">
        <v>47</v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t="n">
        <v>48</v>
      </c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t="n">
        <v>49</v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t="n">
        <v>50</v>
      </c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t="n">
        <v>51</v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t="n">
        <v>52</v>
      </c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t="n">
        <v>53</v>
      </c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t="n">
        <v>54</v>
      </c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t="n">
        <v>55</v>
      </c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t="n">
        <v>56</v>
      </c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t="n">
        <v>57</v>
      </c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t="n">
        <v>58</v>
      </c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t="n">
        <v>59</v>
      </c>
      <c r="B60" s="7" t="n"/>
      <c r="C60" s="7" t="n"/>
      <c r="D60" s="7" t="n"/>
      <c r="E60" s="7" t="n"/>
      <c r="F60" s="7" t="n"/>
      <c r="G60" s="7" t="n"/>
      <c r="H60" s="7" t="n"/>
      <c r="I60" s="7" t="n"/>
    </row>
  </sheetData>
  <dataValidations count="1">
    <dataValidation sqref="H2:H6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2026-10-26T06:46:07Z</dcterms:created>
  <dcterms:modified xmlns:dcterms="http://purl.org/dc/terms/" xmlns:xsi="http://www.w3.org/2001/XMLSchema-instance" xsi:type="dcterms:W3CDTF">2026-10-26T06:46:07Z</dcterms:modified>
</cp:coreProperties>
</file>