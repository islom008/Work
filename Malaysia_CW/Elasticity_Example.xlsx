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asticity_Example" sheetId="1" state="visible" r:id="rId1"/>
    <sheet xmlns:r="http://schemas.openxmlformats.org/officeDocument/2006/relationships" name="How_to_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#,##0.0"/>
    <numFmt numFmtId="166" formatCode="0.000"/>
    <numFmt numFmtId="167" formatCode="0.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165" fontId="0" fillId="3" borderId="0" applyAlignment="1" pivotButton="0" quotePrefix="0" xfId="0">
      <alignment vertical="top" wrapText="1"/>
    </xf>
    <xf numFmtId="166" fontId="0" fillId="3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165" fontId="0" fillId="5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3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2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Arc elasticity |E| by market (log scale; line = 1)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'Elasticity_Example'!L4</f>
            </strRef>
          </tx>
          <spPr>
            <a:ln xmlns:a="http://schemas.openxmlformats.org/drawingml/2006/main">
              <a:prstDash val="solid"/>
            </a:ln>
          </spPr>
          <cat>
            <numRef>
              <f>'Elasticity_Example'!$A$5:$A$8</f>
            </numRef>
          </cat>
          <val>
            <numRef>
              <f>'Elasticity_Example'!$L$5:$L$8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lineChart>
        <grouping val="standard"/>
        <ser>
          <idx val="1"/>
          <order val="1"/>
          <tx>
            <strRef>
              <f>'Elasticity_Example'!O4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'Elasticity_Example'!$O$5:$O$8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Market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logBase val="10"/>
          <orientation val="minMax"/>
          <max val="100"/>
          <min val="0.1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|E| (log scale)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Price and quantity indices, P1 = 100 (slope shows elasticity)</a:t>
            </a:r>
          </a:p>
        </rich>
      </tx>
    </title>
    <plotArea>
      <scatterChart>
        <ser>
          <idx val="0"/>
          <order val="0"/>
          <tx>
            <v>Restaurants / F&amp;B</v>
          </tx>
          <spPr>
            <a:ln xmlns:a="http://schemas.openxmlformats.org/drawingml/2006/main">
              <a:solidFill>
                <a:srgbClr val="1F77B4"/>
              </a:solidFill>
              <a:prstDash val="solid"/>
            </a:ln>
          </spPr>
          <marker>
            <symbol val="circle"/>
            <size val="8"/>
            <spPr>
              <a:solidFill xmlns:a="http://schemas.openxmlformats.org/drawingml/2006/main">
                <a:srgbClr val="1F77B4"/>
              </a:solidFill>
              <a:ln xmlns:a="http://schemas.openxmlformats.org/drawingml/2006/main">
                <a:solidFill>
                  <a:srgbClr val="1F77B4"/>
                </a:solidFill>
                <a:prstDash val="solid"/>
              </a:ln>
            </spPr>
          </marker>
          <xVal>
            <numRef>
              <f>'Elasticity_Example'!$C$19:$C$20</f>
            </numRef>
          </xVal>
          <yVal>
            <numRef>
              <f>'Elasticity_Example'!$D$19:$D$20</f>
            </numRef>
          </yVal>
        </ser>
        <ser>
          <idx val="1"/>
          <order val="1"/>
          <tx>
            <v>Crude palm oil</v>
          </tx>
          <spPr>
            <a:ln xmlns:a="http://schemas.openxmlformats.org/drawingml/2006/main">
              <a:solidFill>
                <a:srgbClr val="D62728"/>
              </a:solidFill>
              <a:prstDash val="solid"/>
            </a:ln>
          </spPr>
          <marker>
            <symbol val="circle"/>
            <size val="8"/>
            <spPr>
              <a:solidFill xmlns:a="http://schemas.openxmlformats.org/drawingml/2006/main">
                <a:srgbClr val="D62728"/>
              </a:solidFill>
              <a:ln xmlns:a="http://schemas.openxmlformats.org/drawingml/2006/main">
                <a:solidFill>
                  <a:srgbClr val="D62728"/>
                </a:solidFill>
                <a:prstDash val="solid"/>
              </a:ln>
            </spPr>
          </marker>
          <xVal>
            <numRef>
              <f>'Elasticity_Example'!$C$21:$C$23</f>
            </numRef>
          </xVal>
          <yVal>
            <numRef>
              <f>'Elasticity_Example'!$D$21:$D$23</f>
            </numRef>
          </yVal>
        </ser>
        <ser>
          <idx val="2"/>
          <order val="2"/>
          <tx>
            <v>Rubber gloves (DUMMY)</v>
          </tx>
          <spPr>
            <a:ln xmlns:a="http://schemas.openxmlformats.org/drawingml/2006/main">
              <a:solidFill>
                <a:srgbClr val="2CA02C"/>
              </a:solidFill>
              <a:prstDash val="solid"/>
            </a:ln>
          </spPr>
          <marker>
            <symbol val="circle"/>
            <size val="8"/>
            <spPr>
              <a:solidFill xmlns:a="http://schemas.openxmlformats.org/drawingml/2006/main">
                <a:srgbClr val="2CA02C"/>
              </a:solidFill>
              <a:ln xmlns:a="http://schemas.openxmlformats.org/drawingml/2006/main">
                <a:solidFill>
                  <a:srgbClr val="2CA02C"/>
                </a:solidFill>
                <a:prstDash val="solid"/>
              </a:ln>
            </spPr>
          </marker>
          <xVal>
            <numRef>
              <f>'Elasticity_Example'!$C$24:$C$25</f>
            </numRef>
          </xVal>
          <yVal>
            <numRef>
              <f>'Elasticity_Example'!$D$24:$D$25</f>
            </numRef>
          </yVal>
        </ser>
        <ser>
          <idx val="3"/>
          <order val="3"/>
          <tx>
            <v>Air passengers (DUMMY)</v>
          </tx>
          <spPr>
            <a:ln xmlns:a="http://schemas.openxmlformats.org/drawingml/2006/main">
              <a:solidFill>
                <a:srgbClr val="FF7F0E"/>
              </a:solidFill>
              <a:prstDash val="solid"/>
            </a:ln>
          </spPr>
          <marker>
            <symbol val="circle"/>
            <size val="8"/>
            <spPr>
              <a:solidFill xmlns:a="http://schemas.openxmlformats.org/drawingml/2006/main">
                <a:srgbClr val="FF7F0E"/>
              </a:solidFill>
              <a:ln xmlns:a="http://schemas.openxmlformats.org/drawingml/2006/main">
                <a:solidFill>
                  <a:srgbClr val="FF7F0E"/>
                </a:solidFill>
                <a:prstDash val="solid"/>
              </a:ln>
            </spPr>
          </marker>
          <xVal>
            <numRef>
              <f>'Elasticity_Example'!$C$26:$C$27</f>
            </numRef>
          </xVal>
          <yVal>
            <numRef>
              <f>'Elasticity_Example'!$D$26:$D$27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Quantity index (P1 = 100)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Price index (P1 = 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30</row>
      <rowOff>0</rowOff>
    </from>
    <ext cx="54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30</row>
      <rowOff>0</rowOff>
    </from>
    <ext cx="576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27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4" customWidth="1" min="9" max="9"/>
    <col width="14" customWidth="1" min="10" max="10"/>
    <col width="14" customWidth="1" min="11" max="11"/>
    <col width="10" customWidth="1" min="12" max="12"/>
    <col width="30" customWidth="1" min="13" max="13"/>
    <col width="12" customWidth="1" min="14" max="14"/>
    <col width="12" customWidth="1" min="15" max="15"/>
    <col width="70" customWidth="1" min="16" max="16"/>
  </cols>
  <sheetData>
    <row r="1">
      <c r="A1" s="1" t="inlineStr">
        <is>
          <t>Task 4 EXAMPLE: arc elasticity, P1 = Q4 2019 to P2 = Q2 2020 (P3 = Q4 2021)</t>
        </is>
      </c>
    </row>
    <row r="2">
      <c r="A2" t="inlineStr">
        <is>
          <t>Yellow = type your data here. Red = DUMMY or placeholder, not real. Green = found in research, confirm on the original source. Everything else is a formula.</t>
        </is>
      </c>
    </row>
    <row r="4" ht="32" customHeight="1">
      <c r="A4" s="2" t="inlineStr">
        <is>
          <t>Market</t>
        </is>
      </c>
      <c r="B4" s="2" t="inlineStr">
        <is>
          <t>Data status</t>
        </is>
      </c>
      <c r="C4" s="2" t="inlineStr">
        <is>
          <t>P1 (Q4 2019)</t>
        </is>
      </c>
      <c r="D4" s="2" t="inlineStr">
        <is>
          <t>P2 (Q2 2020)</t>
        </is>
      </c>
      <c r="E4" s="2" t="inlineStr">
        <is>
          <t>P3 (Q4 2021)</t>
        </is>
      </c>
      <c r="F4" s="2" t="inlineStr">
        <is>
          <t>Q1 (Q4 2019)</t>
        </is>
      </c>
      <c r="G4" s="2" t="inlineStr">
        <is>
          <t>Q2 (Q2 2020)</t>
        </is>
      </c>
      <c r="H4" s="2" t="inlineStr">
        <is>
          <t>Q3 (Q4 2021)</t>
        </is>
      </c>
      <c r="I4" s="2" t="inlineStr">
        <is>
          <t>%ΔQ (midpoint)</t>
        </is>
      </c>
      <c r="J4" s="2" t="inlineStr">
        <is>
          <t>%ΔP (midpoint)</t>
        </is>
      </c>
      <c r="K4" s="2" t="inlineStr">
        <is>
          <t>Arc elasticity E</t>
        </is>
      </c>
      <c r="L4" s="2" t="inlineStr">
        <is>
          <t>|E|</t>
        </is>
      </c>
      <c r="M4" s="2" t="inlineStr">
        <is>
          <t>Pattern test (P1 to P2)</t>
        </is>
      </c>
      <c r="N4" s="2" t="inlineStr">
        <is>
          <t>Elastic?</t>
        </is>
      </c>
      <c r="O4" s="2" t="inlineStr">
        <is>
          <t>Unit elastic (=1)</t>
        </is>
      </c>
      <c r="P4" s="2" t="inlineStr">
        <is>
          <t>Comment</t>
        </is>
      </c>
    </row>
    <row r="5" ht="62" customHeight="1">
      <c r="A5" s="3" t="inlineStr">
        <is>
          <t>Restaurants / F&amp;B</t>
        </is>
      </c>
      <c r="B5" s="4" t="inlineStr">
        <is>
          <t>Derived from DOSM yoy changes (confirm)</t>
        </is>
      </c>
      <c r="C5" s="5" t="n">
        <v>100</v>
      </c>
      <c r="D5" s="5" t="n">
        <v>101.5</v>
      </c>
      <c r="E5" s="5" t="n"/>
      <c r="F5" s="6" t="n">
        <v>100</v>
      </c>
      <c r="G5" s="6" t="n">
        <v>68.3</v>
      </c>
      <c r="H5" s="6" t="n"/>
      <c r="I5" s="7">
        <f>(G5-F5)/((G5+F5)/2)</f>
        <v/>
      </c>
      <c r="J5" s="7">
        <f>(D5-C5)/((D5+C5)/2)</f>
        <v/>
      </c>
      <c r="K5" s="8">
        <f>I5/J5</f>
        <v/>
      </c>
      <c r="L5" s="8">
        <f>ABS(K5)</f>
        <v/>
      </c>
      <c r="M5" s="3">
        <f>IF(I5*J5&gt;0,"Same direction: demand-type, PES","Opposite: supply-type, PED")</f>
        <v/>
      </c>
      <c r="N5" s="3">
        <f>IF(L5&gt;1,"Elastic",IF(L5&lt;1,"Inelastic","Unit elastic"))</f>
        <v/>
      </c>
      <c r="O5" s="3" t="n">
        <v>1</v>
      </c>
      <c r="P5" s="3" t="inlineStr">
        <is>
          <t>Index, Q2 2019 = 100. SPPI restaurants +1.5% yoy and F&amp;B volume -31.7% yoy in Q2 2020. The test says supply-type, but the cause is lockdown demand loss with sticky prices. The ratio is not a behavioural elasticity.</t>
        </is>
      </c>
    </row>
    <row r="6" ht="62" customHeight="1">
      <c r="A6" s="3" t="inlineStr">
        <is>
          <t>Crude palm oil</t>
        </is>
      </c>
      <c r="B6" s="4" t="inlineStr">
        <is>
          <t>Q = MPOB sums (found). P1, P2 = PLACEHOLDERS from team draft; P3 = found</t>
        </is>
      </c>
      <c r="C6" s="9" t="n">
        <v>2813</v>
      </c>
      <c r="D6" s="9" t="n">
        <v>2074</v>
      </c>
      <c r="E6" s="5" t="n">
        <v>5154</v>
      </c>
      <c r="F6" s="6" t="n">
        <v>4.669</v>
      </c>
      <c r="G6" s="6" t="n">
        <v>5.19</v>
      </c>
      <c r="H6" s="6" t="n">
        <v>4.81</v>
      </c>
      <c r="I6" s="7">
        <f>(G6-F6)/((G6+F6)/2)</f>
        <v/>
      </c>
      <c r="J6" s="7">
        <f>(D6-C6)/((D6+C6)/2)</f>
        <v/>
      </c>
      <c r="K6" s="8">
        <f>I6/J6</f>
        <v/>
      </c>
      <c r="L6" s="8">
        <f>ABS(K6)</f>
        <v/>
      </c>
      <c r="M6" s="3">
        <f>IF(I6*J6&gt;0,"Same direction: demand-type, PES","Opposite: supply-type, PED")</f>
        <v/>
      </c>
      <c r="N6" s="3">
        <f>IF(L6&gt;1,"Elastic",IF(L6&lt;1,"Inelastic","Unit elastic"))</f>
        <v/>
      </c>
      <c r="O6" s="3" t="n">
        <v>1</v>
      </c>
      <c r="P6" s="3" t="inlineStr">
        <is>
          <t>Q in million tonnes (Q4 2019 about 4.67, Q2 2020 5.19, Q4 2021 4.81). Quantity rose while price fell: that looks like a supply increase or seasonality, not a supply cut.</t>
        </is>
      </c>
    </row>
    <row r="7" ht="62" customHeight="1">
      <c r="A7" s="10" t="inlineStr">
        <is>
          <t>Rubber gloves (DUMMY)</t>
        </is>
      </c>
      <c r="B7" s="10" t="inlineStr">
        <is>
          <t>DUMMY numbers: replace</t>
        </is>
      </c>
      <c r="C7" s="5" t="n">
        <v>100</v>
      </c>
      <c r="D7" s="5" t="n">
        <v>130</v>
      </c>
      <c r="E7" s="5" t="n"/>
      <c r="F7" s="6" t="n">
        <v>100</v>
      </c>
      <c r="G7" s="6" t="n">
        <v>150</v>
      </c>
      <c r="H7" s="6" t="n"/>
      <c r="I7" s="7">
        <f>(G7-F7)/((G7+F7)/2)</f>
        <v/>
      </c>
      <c r="J7" s="7">
        <f>(D7-C7)/((D7+C7)/2)</f>
        <v/>
      </c>
      <c r="K7" s="8">
        <f>I7/J7</f>
        <v/>
      </c>
      <c r="L7" s="8">
        <f>ABS(K7)</f>
        <v/>
      </c>
      <c r="M7" s="3">
        <f>IF(I7*J7&gt;0,"Same direction: demand-type, PES","Opposite: supply-type, PED")</f>
        <v/>
      </c>
      <c r="N7" s="3">
        <f>IF(L7&gt;1,"Elastic",IF(L7&lt;1,"Inelastic","Unit elastic"))</f>
        <v/>
      </c>
      <c r="O7" s="3" t="n">
        <v>1</v>
      </c>
      <c r="P7" s="3" t="inlineStr">
        <is>
          <t>Illustrative demand-shock pattern: P and Q both up, so the result is PES.</t>
        </is>
      </c>
    </row>
    <row r="8" ht="62" customHeight="1">
      <c r="A8" s="10" t="inlineStr">
        <is>
          <t>Air passengers (DUMMY)</t>
        </is>
      </c>
      <c r="B8" s="10" t="inlineStr">
        <is>
          <t>DUMMY numbers: replace</t>
        </is>
      </c>
      <c r="C8" s="5" t="n">
        <v>100</v>
      </c>
      <c r="D8" s="5" t="n">
        <v>125</v>
      </c>
      <c r="E8" s="5" t="n"/>
      <c r="F8" s="6" t="n">
        <v>100</v>
      </c>
      <c r="G8" s="6" t="n">
        <v>60</v>
      </c>
      <c r="H8" s="6" t="n"/>
      <c r="I8" s="7">
        <f>(G8-F8)/((G8+F8)/2)</f>
        <v/>
      </c>
      <c r="J8" s="7">
        <f>(D8-C8)/((D8+C8)/2)</f>
        <v/>
      </c>
      <c r="K8" s="8">
        <f>I8/J8</f>
        <v/>
      </c>
      <c r="L8" s="8">
        <f>ABS(K8)</f>
        <v/>
      </c>
      <c r="M8" s="3">
        <f>IF(I8*J8&gt;0,"Same direction: demand-type, PES","Opposite: supply-type, PED")</f>
        <v/>
      </c>
      <c r="N8" s="3">
        <f>IF(L8&gt;1,"Elastic",IF(L8&lt;1,"Inelastic","Unit elastic"))</f>
        <v/>
      </c>
      <c r="O8" s="3" t="n">
        <v>1</v>
      </c>
      <c r="P8" s="3" t="inlineStr">
        <is>
          <t>Illustrative supply-shock pattern: P up, Q down, so the result is PED.</t>
        </is>
      </c>
    </row>
    <row r="11">
      <c r="A11" s="11" t="inlineStr">
        <is>
          <t>Later-period check (long-run section): P2 to P3, crude palm oil only</t>
        </is>
      </c>
    </row>
    <row r="12">
      <c r="A12" s="12" t="inlineStr">
        <is>
          <t>Market</t>
        </is>
      </c>
      <c r="B12" s="12" t="inlineStr"/>
      <c r="C12" s="12" t="inlineStr"/>
      <c r="D12" s="12" t="inlineStr"/>
      <c r="E12" s="12" t="inlineStr"/>
      <c r="F12" s="12" t="inlineStr"/>
      <c r="G12" s="12" t="inlineStr"/>
      <c r="H12" s="12" t="inlineStr"/>
      <c r="I12" s="12" t="inlineStr">
        <is>
          <t>%ΔQ (midpoint)</t>
        </is>
      </c>
      <c r="J12" s="12" t="inlineStr">
        <is>
          <t>%ΔP (midpoint)</t>
        </is>
      </c>
      <c r="K12" s="12" t="inlineStr">
        <is>
          <t>Arc elasticity E</t>
        </is>
      </c>
      <c r="L12" s="12" t="inlineStr">
        <is>
          <t>|E|</t>
        </is>
      </c>
    </row>
    <row r="13">
      <c r="A13" t="inlineStr">
        <is>
          <t>Crude palm oil (P2 to P3)</t>
        </is>
      </c>
      <c r="I13" s="13">
        <f>(H6-G6)/((H6+G6)/2)</f>
        <v/>
      </c>
      <c r="J13" s="13">
        <f>(E6-D6)/((E6+D6)/2)</f>
        <v/>
      </c>
      <c r="K13" s="14">
        <f>I13/J13</f>
        <v/>
      </c>
      <c r="L13" s="14">
        <f>ABS(K13)</f>
        <v/>
      </c>
    </row>
    <row r="14">
      <c r="A14" t="inlineStr">
        <is>
          <t>Uses the placeholder P2 price: replace with the MPOB value first.</t>
        </is>
      </c>
    </row>
    <row r="17">
      <c r="A17" s="11" t="inlineStr">
        <is>
          <t>Index table for the price-quantity chart (P1 = 100 for each market). Formulas read the table above.</t>
        </is>
      </c>
    </row>
    <row r="18">
      <c r="A18" s="12" t="inlineStr">
        <is>
          <t>Market</t>
        </is>
      </c>
      <c r="B18" s="12" t="inlineStr">
        <is>
          <t>Period</t>
        </is>
      </c>
      <c r="C18" s="12" t="inlineStr">
        <is>
          <t>Quantity index</t>
        </is>
      </c>
      <c r="D18" s="12" t="inlineStr">
        <is>
          <t>Price index</t>
        </is>
      </c>
    </row>
    <row r="19">
      <c r="A19" t="inlineStr">
        <is>
          <t>Restaurants / F&amp;B</t>
        </is>
      </c>
      <c r="B19" t="inlineStr">
        <is>
          <t>P1 Q4 2019</t>
        </is>
      </c>
      <c r="C19" s="15">
        <f>F5/F5*100</f>
        <v/>
      </c>
      <c r="D19" s="15">
        <f>C5/C5*100</f>
        <v/>
      </c>
    </row>
    <row r="20">
      <c r="A20" t="inlineStr">
        <is>
          <t>Restaurants / F&amp;B</t>
        </is>
      </c>
      <c r="B20" t="inlineStr">
        <is>
          <t>P2 Q2 2020</t>
        </is>
      </c>
      <c r="C20" s="15">
        <f>G5/F5*100</f>
        <v/>
      </c>
      <c r="D20" s="15">
        <f>D5/C5*100</f>
        <v/>
      </c>
    </row>
    <row r="21">
      <c r="A21" t="inlineStr">
        <is>
          <t>Crude palm oil</t>
        </is>
      </c>
      <c r="B21" t="inlineStr">
        <is>
          <t>P1 Q4 2019</t>
        </is>
      </c>
      <c r="C21" s="15">
        <f>F6/F6*100</f>
        <v/>
      </c>
      <c r="D21" s="15">
        <f>C6/C6*100</f>
        <v/>
      </c>
    </row>
    <row r="22">
      <c r="A22" t="inlineStr">
        <is>
          <t>Crude palm oil</t>
        </is>
      </c>
      <c r="B22" t="inlineStr">
        <is>
          <t>P2 Q2 2020</t>
        </is>
      </c>
      <c r="C22" s="15">
        <f>G6/F6*100</f>
        <v/>
      </c>
      <c r="D22" s="15">
        <f>D6/C6*100</f>
        <v/>
      </c>
    </row>
    <row r="23">
      <c r="A23" t="inlineStr">
        <is>
          <t>Crude palm oil</t>
        </is>
      </c>
      <c r="B23" t="inlineStr">
        <is>
          <t>P3 Q4 2021</t>
        </is>
      </c>
      <c r="C23" s="15">
        <f>H6/F6*100</f>
        <v/>
      </c>
      <c r="D23" s="15">
        <f>E6/C6*100</f>
        <v/>
      </c>
    </row>
    <row r="24">
      <c r="A24" t="inlineStr">
        <is>
          <t>Rubber gloves (DUMMY)</t>
        </is>
      </c>
      <c r="B24" t="inlineStr">
        <is>
          <t>P1 Q4 2019</t>
        </is>
      </c>
      <c r="C24" s="15">
        <f>F7/F7*100</f>
        <v/>
      </c>
      <c r="D24" s="15">
        <f>C7/C7*100</f>
        <v/>
      </c>
    </row>
    <row r="25">
      <c r="A25" t="inlineStr">
        <is>
          <t>Rubber gloves (DUMMY)</t>
        </is>
      </c>
      <c r="B25" t="inlineStr">
        <is>
          <t>P2 Q2 2020</t>
        </is>
      </c>
      <c r="C25" s="15">
        <f>G7/F7*100</f>
        <v/>
      </c>
      <c r="D25" s="15">
        <f>D7/C7*100</f>
        <v/>
      </c>
    </row>
    <row r="26">
      <c r="A26" t="inlineStr">
        <is>
          <t>Air passengers (DUMMY)</t>
        </is>
      </c>
      <c r="B26" t="inlineStr">
        <is>
          <t>P1 Q4 2019</t>
        </is>
      </c>
      <c r="C26" s="15">
        <f>F8/F8*100</f>
        <v/>
      </c>
      <c r="D26" s="15">
        <f>C8/C8*100</f>
        <v/>
      </c>
    </row>
    <row r="27">
      <c r="A27" t="inlineStr">
        <is>
          <t>Air passengers (DUMMY)</t>
        </is>
      </c>
      <c r="B27" t="inlineStr">
        <is>
          <t>P2 Q2 2020</t>
        </is>
      </c>
      <c r="C27" s="15">
        <f>G8/F8*100</f>
        <v/>
      </c>
      <c r="D27" s="15">
        <f>D8/C8*100</f>
        <v/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How to use this example</t>
        </is>
      </c>
    </row>
    <row r="2">
      <c r="A2" t="inlineStr">
        <is>
          <t>1. Copy the sheet. Replace the yellow cells with your own P and Q for Q4 2019, Q2 2020 and your later quarter (all must be the team's agreed quarters).</t>
        </is>
      </c>
    </row>
    <row r="3">
      <c r="A3" t="inlineStr">
        <is>
          <t>2. Remove the DUMMY rows and the placeholders. Do not leave any number you cannot source.</t>
        </is>
      </c>
    </row>
    <row r="4">
      <c r="A4" t="inlineStr">
        <is>
          <t>3. The Pattern test column applies the team rule: same direction means demand shock (report PES), opposite means supply shock (report PED).</t>
        </is>
      </c>
    </row>
    <row r="5">
      <c r="A5" t="inlineStr">
        <is>
          <t>4. If the test and the economics disagree (restaurants, palm oil here), say so in the report instead of hiding it.</t>
        </is>
      </c>
    </row>
    <row r="6">
      <c r="A6" t="inlineStr">
        <is>
          <t>5. Log every input in Source_Log (name, exact URL, date retrieved, table). Charts in the report must match this workbook.</t>
        </is>
      </c>
    </row>
    <row r="7">
      <c r="A7" t="inlineStr">
        <is>
          <t>6. The arc elasticity uses midpoints, so the result does not depend on which period is the base. The sign is negative for PED by construction; report the absolute value |E|.</t>
        </is>
      </c>
    </row>
    <row r="8">
      <c r="A8" t="inlineStr">
        <is>
          <t>7. P1 to P2 is the required comparison. The P2 to P3 block is for the long-run discussion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2026-10-26T08:10:01Z</dcterms:created>
  <dcterms:modified xmlns:dcterms="http://purl.org/dc/terms/" xmlns:xsi="http://www.w3.org/2001/XMLSchema-instance" xsi:type="dcterms:W3CDTF">2026-10-26T08:10:01Z</dcterms:modified>
</cp:coreProperties>
</file>